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cuments\[Dokumen Skripsi]\"/>
    </mc:Choice>
  </mc:AlternateContent>
  <xr:revisionPtr revIDLastSave="0" documentId="13_ncr:1_{B9C2DB66-3B5C-42B8-B0A9-A90022C09309}" xr6:coauthVersionLast="47" xr6:coauthVersionMax="47" xr10:uidLastSave="{00000000-0000-0000-0000-000000000000}"/>
  <bookViews>
    <workbookView xWindow="0" yWindow="1152" windowWidth="23040" windowHeight="10680" firstSheet="1" activeTab="1" xr2:uid="{00000000-000D-0000-FFFF-FFFF00000000}"/>
  </bookViews>
  <sheets>
    <sheet name="KONVERSI" sheetId="1" r:id="rId1"/>
    <sheet name="DATA M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GA0vxFYHFjbu53Bjt0w/8ZshH1KL8m/3qYfW1+cHAYw="/>
    </ext>
  </extLst>
</workbook>
</file>

<file path=xl/calcChain.xml><?xml version="1.0" encoding="utf-8"?>
<calcChain xmlns="http://schemas.openxmlformats.org/spreadsheetml/2006/main">
  <c r="H58" i="2" l="1"/>
  <c r="G58" i="2"/>
  <c r="F58" i="2"/>
  <c r="E58" i="2"/>
  <c r="D58" i="2"/>
  <c r="C58" i="2"/>
  <c r="B58" i="2"/>
  <c r="O56" i="2"/>
  <c r="N56" i="2"/>
  <c r="M56" i="2"/>
  <c r="L56" i="2"/>
  <c r="K56" i="2"/>
  <c r="J56" i="2"/>
  <c r="O55" i="2"/>
  <c r="N55" i="2"/>
  <c r="M55" i="2"/>
  <c r="L55" i="2"/>
  <c r="K55" i="2"/>
  <c r="J55" i="2"/>
  <c r="O54" i="2"/>
  <c r="N54" i="2"/>
  <c r="M54" i="2"/>
  <c r="L54" i="2"/>
  <c r="K54" i="2"/>
  <c r="J54" i="2"/>
  <c r="O53" i="2"/>
  <c r="N53" i="2"/>
  <c r="M53" i="2"/>
  <c r="L53" i="2"/>
  <c r="K53" i="2"/>
  <c r="J53" i="2"/>
  <c r="O52" i="2"/>
  <c r="N52" i="2"/>
  <c r="M52" i="2"/>
  <c r="L52" i="2"/>
  <c r="K52" i="2"/>
  <c r="J52" i="2"/>
  <c r="O51" i="2"/>
  <c r="N51" i="2"/>
  <c r="M51" i="2"/>
  <c r="L51" i="2"/>
  <c r="K51" i="2"/>
  <c r="J51" i="2"/>
  <c r="O50" i="2"/>
  <c r="N50" i="2"/>
  <c r="M50" i="2"/>
  <c r="L50" i="2"/>
  <c r="K50" i="2"/>
  <c r="J50" i="2"/>
  <c r="O49" i="2"/>
  <c r="N49" i="2"/>
  <c r="M49" i="2"/>
  <c r="L49" i="2"/>
  <c r="K49" i="2"/>
  <c r="J49" i="2"/>
  <c r="O48" i="2"/>
  <c r="N48" i="2"/>
  <c r="M48" i="2"/>
  <c r="L48" i="2"/>
  <c r="K48" i="2"/>
  <c r="J48" i="2"/>
  <c r="O47" i="2"/>
  <c r="N47" i="2"/>
  <c r="M47" i="2"/>
  <c r="L47" i="2"/>
  <c r="K47" i="2"/>
  <c r="J47" i="2"/>
  <c r="O46" i="2"/>
  <c r="N46" i="2"/>
  <c r="M46" i="2"/>
  <c r="L46" i="2"/>
  <c r="K46" i="2"/>
  <c r="J46" i="2"/>
  <c r="O45" i="2"/>
  <c r="N45" i="2"/>
  <c r="M45" i="2"/>
  <c r="L45" i="2"/>
  <c r="K45" i="2"/>
  <c r="J45" i="2"/>
  <c r="O44" i="2"/>
  <c r="N44" i="2"/>
  <c r="M44" i="2"/>
  <c r="L44" i="2"/>
  <c r="K44" i="2"/>
  <c r="J44" i="2"/>
  <c r="O43" i="2"/>
  <c r="N43" i="2"/>
  <c r="M43" i="2"/>
  <c r="L43" i="2"/>
  <c r="K43" i="2"/>
  <c r="J43" i="2"/>
  <c r="O42" i="2"/>
  <c r="N42" i="2"/>
  <c r="M42" i="2"/>
  <c r="L42" i="2"/>
  <c r="K42" i="2"/>
  <c r="J42" i="2"/>
  <c r="O41" i="2"/>
  <c r="N41" i="2"/>
  <c r="M41" i="2"/>
  <c r="L41" i="2"/>
  <c r="K41" i="2"/>
  <c r="J41" i="2"/>
  <c r="O40" i="2"/>
  <c r="N40" i="2"/>
  <c r="M40" i="2"/>
  <c r="L40" i="2"/>
  <c r="K40" i="2"/>
  <c r="J40" i="2"/>
  <c r="O39" i="2"/>
  <c r="N39" i="2"/>
  <c r="M39" i="2"/>
  <c r="L39" i="2"/>
  <c r="K39" i="2"/>
  <c r="J39" i="2"/>
  <c r="O38" i="2"/>
  <c r="N38" i="2"/>
  <c r="M38" i="2"/>
  <c r="L38" i="2"/>
  <c r="K38" i="2"/>
  <c r="J38" i="2"/>
  <c r="O37" i="2"/>
  <c r="N37" i="2"/>
  <c r="M37" i="2"/>
  <c r="L37" i="2"/>
  <c r="K37" i="2"/>
  <c r="J37" i="2"/>
  <c r="O36" i="2"/>
  <c r="N36" i="2"/>
  <c r="M36" i="2"/>
  <c r="L36" i="2"/>
  <c r="K36" i="2"/>
  <c r="J36" i="2"/>
  <c r="O35" i="2"/>
  <c r="N35" i="2"/>
  <c r="M35" i="2"/>
  <c r="L35" i="2"/>
  <c r="K35" i="2"/>
  <c r="J35" i="2"/>
  <c r="O34" i="2"/>
  <c r="N34" i="2"/>
  <c r="M34" i="2"/>
  <c r="L34" i="2"/>
  <c r="K34" i="2"/>
  <c r="J34" i="2"/>
  <c r="O33" i="2"/>
  <c r="N33" i="2"/>
  <c r="M33" i="2"/>
  <c r="L33" i="2"/>
  <c r="K33" i="2"/>
  <c r="J33" i="2"/>
  <c r="O32" i="2"/>
  <c r="N32" i="2"/>
  <c r="M32" i="2"/>
  <c r="L32" i="2"/>
  <c r="K32" i="2"/>
  <c r="J32" i="2"/>
  <c r="O31" i="2"/>
  <c r="N31" i="2"/>
  <c r="M31" i="2"/>
  <c r="L31" i="2"/>
  <c r="K31" i="2"/>
  <c r="J31" i="2"/>
  <c r="O30" i="2"/>
  <c r="N30" i="2"/>
  <c r="M30" i="2"/>
  <c r="L30" i="2"/>
  <c r="K30" i="2"/>
  <c r="J30" i="2"/>
  <c r="O29" i="2"/>
  <c r="N29" i="2"/>
  <c r="M29" i="2"/>
  <c r="L29" i="2"/>
  <c r="K29" i="2"/>
  <c r="J29" i="2"/>
  <c r="O28" i="2"/>
  <c r="N28" i="2"/>
  <c r="M28" i="2"/>
  <c r="L28" i="2"/>
  <c r="K28" i="2"/>
  <c r="J28" i="2"/>
  <c r="O27" i="2"/>
  <c r="N27" i="2"/>
  <c r="M27" i="2"/>
  <c r="L27" i="2"/>
  <c r="K27" i="2"/>
  <c r="J27" i="2"/>
  <c r="O26" i="2"/>
  <c r="N26" i="2"/>
  <c r="M26" i="2"/>
  <c r="L26" i="2"/>
  <c r="K26" i="2"/>
  <c r="J26" i="2"/>
  <c r="O25" i="2"/>
  <c r="N25" i="2"/>
  <c r="M25" i="2"/>
  <c r="L25" i="2"/>
  <c r="K25" i="2"/>
  <c r="J25" i="2"/>
  <c r="O24" i="2"/>
  <c r="N24" i="2"/>
  <c r="M24" i="2"/>
  <c r="L24" i="2"/>
  <c r="K24" i="2"/>
  <c r="J24" i="2"/>
  <c r="O23" i="2"/>
  <c r="N23" i="2"/>
  <c r="M23" i="2"/>
  <c r="L23" i="2"/>
  <c r="K23" i="2"/>
  <c r="J23" i="2"/>
  <c r="O22" i="2"/>
  <c r="N22" i="2"/>
  <c r="M22" i="2"/>
  <c r="L22" i="2"/>
  <c r="K22" i="2"/>
  <c r="J22" i="2"/>
  <c r="O21" i="2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O11" i="2"/>
  <c r="N11" i="2"/>
  <c r="M11" i="2"/>
  <c r="L11" i="2"/>
  <c r="K11" i="2"/>
  <c r="J11" i="2"/>
  <c r="O10" i="2"/>
  <c r="N10" i="2"/>
  <c r="M10" i="2"/>
  <c r="L10" i="2"/>
  <c r="K10" i="2"/>
  <c r="J10" i="2"/>
  <c r="O9" i="2"/>
  <c r="N9" i="2"/>
  <c r="M9" i="2"/>
  <c r="L9" i="2"/>
  <c r="K9" i="2"/>
  <c r="J9" i="2"/>
  <c r="O8" i="2"/>
  <c r="N8" i="2"/>
  <c r="M8" i="2"/>
  <c r="L8" i="2"/>
  <c r="K8" i="2"/>
  <c r="J8" i="2"/>
  <c r="O7" i="2"/>
  <c r="N7" i="2"/>
  <c r="M7" i="2"/>
  <c r="L7" i="2"/>
  <c r="L58" i="2" s="1"/>
  <c r="K7" i="2"/>
  <c r="J7" i="2"/>
  <c r="O6" i="2"/>
  <c r="N6" i="2"/>
  <c r="M6" i="2"/>
  <c r="M58" i="2" s="1"/>
  <c r="L6" i="2"/>
  <c r="K6" i="2"/>
  <c r="J6" i="2"/>
  <c r="O5" i="2"/>
  <c r="N5" i="2"/>
  <c r="M5" i="2"/>
  <c r="L5" i="2"/>
  <c r="K5" i="2"/>
  <c r="J5" i="2"/>
  <c r="B11" i="1"/>
  <c r="J58" i="2" l="1"/>
  <c r="O58" i="2"/>
  <c r="K58" i="2"/>
  <c r="N58" i="2"/>
</calcChain>
</file>

<file path=xl/sharedStrings.xml><?xml version="1.0" encoding="utf-8"?>
<sst xmlns="http://schemas.openxmlformats.org/spreadsheetml/2006/main" count="78" uniqueCount="72">
  <si>
    <t>NILAI HURUF</t>
  </si>
  <si>
    <t>NILAI ANGKA</t>
  </si>
  <si>
    <t>A</t>
  </si>
  <si>
    <t>B+</t>
  </si>
  <si>
    <t>B</t>
  </si>
  <si>
    <t>C+</t>
  </si>
  <si>
    <t>C</t>
  </si>
  <si>
    <t>D+</t>
  </si>
  <si>
    <t>D</t>
  </si>
  <si>
    <t>E</t>
  </si>
  <si>
    <t>DEFAULT</t>
  </si>
  <si>
    <t>INCLUDE SKS</t>
  </si>
  <si>
    <t>MATA KULIAH</t>
  </si>
  <si>
    <t>SKS</t>
  </si>
  <si>
    <t>CPL 1</t>
  </si>
  <si>
    <t>CPL 2</t>
  </si>
  <si>
    <t>CPL 3</t>
  </si>
  <si>
    <t>CPL 4</t>
  </si>
  <si>
    <t>CPL 5</t>
  </si>
  <si>
    <t>CPL 6</t>
  </si>
  <si>
    <t>Pend. Agama</t>
  </si>
  <si>
    <t>Fisika I</t>
  </si>
  <si>
    <t>Matematika I</t>
  </si>
  <si>
    <t>Rangkaian Listrik I</t>
  </si>
  <si>
    <t>Algorima dan Pemrograman</t>
  </si>
  <si>
    <t>Sistem Digital</t>
  </si>
  <si>
    <t>Dasar Teknik Elektro</t>
  </si>
  <si>
    <t>Bahasa Inggris</t>
  </si>
  <si>
    <t>Menggambar Teknik</t>
  </si>
  <si>
    <t>Pengukuran Besaran Listrik</t>
  </si>
  <si>
    <t xml:space="preserve">Elektronika </t>
  </si>
  <si>
    <t>Matematika II</t>
  </si>
  <si>
    <t>Rangkain Listrik II</t>
  </si>
  <si>
    <t>Prak. Sistem Digital</t>
  </si>
  <si>
    <t>Prak. Algoritma dan Pemrograman</t>
  </si>
  <si>
    <t>Fisika II</t>
  </si>
  <si>
    <t>Kewarganegaraan</t>
  </si>
  <si>
    <t>Organisasi dan Arsitektur Komputer</t>
  </si>
  <si>
    <t>Aljabar Linier</t>
  </si>
  <si>
    <t>Matematika Teknik</t>
  </si>
  <si>
    <t>Energi Terbarukan</t>
  </si>
  <si>
    <t>Sistem Kendali</t>
  </si>
  <si>
    <t>Prak. Rangkain Listrik (RL I &amp; II)</t>
  </si>
  <si>
    <t>Prak. Pengukuran Besaran Listrik</t>
  </si>
  <si>
    <t>Riset Operasi</t>
  </si>
  <si>
    <t>Prak. Fisika</t>
  </si>
  <si>
    <t>Statistik dan Probabilitas</t>
  </si>
  <si>
    <t>Pancasila</t>
  </si>
  <si>
    <t>Metode Numerik</t>
  </si>
  <si>
    <t>Fisika III</t>
  </si>
  <si>
    <t>Mikrokontroler</t>
  </si>
  <si>
    <t>Prak. Sistem Kendali</t>
  </si>
  <si>
    <t>Prak. Energi Terbarukan</t>
  </si>
  <si>
    <t>Manajemen Basis Data</t>
  </si>
  <si>
    <t>Dasar Konversi Energi</t>
  </si>
  <si>
    <t>Prak. Elektronika</t>
  </si>
  <si>
    <t>Prak. Aljabar Linear</t>
  </si>
  <si>
    <t>Bahasa Indonesia</t>
  </si>
  <si>
    <t>Metode Penelitian</t>
  </si>
  <si>
    <t>Jaringan Komunikasi Data</t>
  </si>
  <si>
    <t>Teknik Tenaga Listrik</t>
  </si>
  <si>
    <t>Park. Mikrokontroler</t>
  </si>
  <si>
    <t>Prak. Manajemen Basis Data</t>
  </si>
  <si>
    <t>Prak. Jaringan Komunikasi Data</t>
  </si>
  <si>
    <t>Prak. Teknik Tenaga Listrik</t>
  </si>
  <si>
    <t>Kecerdasan Buatan</t>
  </si>
  <si>
    <t>Pemrograman Lanjut</t>
  </si>
  <si>
    <t>Skripsi</t>
  </si>
  <si>
    <t>Kewirausahaan</t>
  </si>
  <si>
    <t>Kerja Praktek</t>
  </si>
  <si>
    <t>Senior Project</t>
  </si>
  <si>
    <t>KKN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</si>
</sst>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scheme val="minor"/>
    </font>
    <font>
      <sz val="11"/>
      <color rgb="FF000000"/>
      <name val="Arial"/>
    </font>
    <font>
      <b/>
      <sz val="10"/>
      <color rgb="FF000000"/>
      <name val="Times New Roman"/>
    </font>
    <font>
      <sz val="11"/>
      <name val="Arial"/>
    </font>
    <font>
      <b/>
      <sz val="1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BE4F0"/>
        <bgColor rgb="FFDBE4F0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59765625" defaultRowHeight="15" customHeight="1" x14ac:dyDescent="0.25"/>
  <cols>
    <col min="1" max="1" width="11.69921875" customWidth="1"/>
    <col min="2" max="2" width="11.59765625" customWidth="1"/>
    <col min="3" max="26" width="8.59765625" customWidth="1"/>
  </cols>
  <sheetData>
    <row r="1" spans="1:2" ht="14.25" customHeight="1" x14ac:dyDescent="0.25">
      <c r="A1" s="1" t="s">
        <v>0</v>
      </c>
      <c r="B1" s="1" t="s">
        <v>1</v>
      </c>
    </row>
    <row r="2" spans="1:2" ht="14.25" customHeight="1" x14ac:dyDescent="0.25">
      <c r="A2" s="1" t="s">
        <v>2</v>
      </c>
      <c r="B2" s="1">
        <v>90</v>
      </c>
    </row>
    <row r="3" spans="1:2" ht="14.25" customHeight="1" x14ac:dyDescent="0.25">
      <c r="A3" s="1" t="s">
        <v>3</v>
      </c>
      <c r="B3" s="1">
        <v>77.5</v>
      </c>
    </row>
    <row r="4" spans="1:2" ht="14.25" customHeight="1" x14ac:dyDescent="0.25">
      <c r="A4" s="1" t="s">
        <v>4</v>
      </c>
      <c r="B4" s="1">
        <v>72.5</v>
      </c>
    </row>
    <row r="5" spans="1:2" ht="14.25" customHeight="1" x14ac:dyDescent="0.25">
      <c r="A5" s="1" t="s">
        <v>5</v>
      </c>
      <c r="B5" s="1">
        <v>67.5</v>
      </c>
    </row>
    <row r="6" spans="1:2" ht="14.25" customHeight="1" x14ac:dyDescent="0.25">
      <c r="A6" s="1" t="s">
        <v>6</v>
      </c>
      <c r="B6" s="1">
        <v>62.5</v>
      </c>
    </row>
    <row r="7" spans="1:2" ht="14.25" customHeight="1" x14ac:dyDescent="0.25">
      <c r="A7" s="1" t="s">
        <v>7</v>
      </c>
      <c r="B7" s="1">
        <v>57.5</v>
      </c>
    </row>
    <row r="8" spans="1:2" ht="14.25" customHeight="1" x14ac:dyDescent="0.25">
      <c r="A8" s="1" t="s">
        <v>8</v>
      </c>
      <c r="B8" s="1">
        <v>52.5</v>
      </c>
    </row>
    <row r="9" spans="1:2" ht="14.25" customHeight="1" x14ac:dyDescent="0.25">
      <c r="A9" s="1" t="s">
        <v>9</v>
      </c>
      <c r="B9" s="1">
        <v>0</v>
      </c>
    </row>
    <row r="10" spans="1:2" ht="14.25" customHeight="1" x14ac:dyDescent="0.25"/>
    <row r="11" spans="1:2" ht="14.25" customHeight="1" x14ac:dyDescent="0.25">
      <c r="A11" s="2" t="s">
        <v>10</v>
      </c>
      <c r="B11" s="2">
        <f>B4</f>
        <v>72.5</v>
      </c>
    </row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/>
  </sheetViews>
  <sheetFormatPr defaultColWidth="12.59765625" defaultRowHeight="15" customHeight="1" x14ac:dyDescent="0.25"/>
  <cols>
    <col min="1" max="1" width="48.69921875" customWidth="1"/>
    <col min="2" max="2" width="12" customWidth="1"/>
    <col min="3" max="8" width="8" customWidth="1"/>
    <col min="9" max="13" width="14.3984375" customWidth="1"/>
  </cols>
  <sheetData>
    <row r="1" spans="1:26" ht="15" customHeight="1" x14ac:dyDescent="0.25">
      <c r="A1" s="3"/>
      <c r="B1" s="4"/>
      <c r="C1" s="3"/>
      <c r="D1" s="3"/>
      <c r="E1" s="3"/>
      <c r="F1" s="3"/>
      <c r="G1" s="3"/>
      <c r="H1" s="3"/>
      <c r="I1" s="3"/>
      <c r="J1" s="3" t="s">
        <v>11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7" t="s">
        <v>12</v>
      </c>
      <c r="B2" s="5"/>
      <c r="C2" s="14"/>
      <c r="D2" s="15"/>
      <c r="E2" s="14"/>
      <c r="F2" s="16"/>
      <c r="G2" s="15"/>
      <c r="H2" s="6"/>
      <c r="I2" s="3"/>
      <c r="J2" s="14"/>
      <c r="K2" s="15"/>
      <c r="L2" s="14"/>
      <c r="M2" s="16"/>
      <c r="N2" s="15"/>
      <c r="O2" s="6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8"/>
      <c r="B3" s="7" t="s">
        <v>13</v>
      </c>
      <c r="C3" s="14"/>
      <c r="D3" s="15"/>
      <c r="E3" s="14"/>
      <c r="F3" s="16"/>
      <c r="G3" s="15"/>
      <c r="H3" s="6"/>
      <c r="I3" s="3"/>
      <c r="J3" s="14"/>
      <c r="K3" s="15"/>
      <c r="L3" s="14"/>
      <c r="M3" s="16"/>
      <c r="N3" s="15"/>
      <c r="O3" s="6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9"/>
      <c r="B4" s="8"/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3"/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0" t="s">
        <v>20</v>
      </c>
      <c r="B5" s="11">
        <v>2</v>
      </c>
      <c r="C5" s="12">
        <v>0</v>
      </c>
      <c r="D5" s="12">
        <v>0</v>
      </c>
      <c r="E5" s="12">
        <v>0</v>
      </c>
      <c r="F5" s="12">
        <v>1</v>
      </c>
      <c r="G5" s="12">
        <v>1</v>
      </c>
      <c r="H5" s="12">
        <v>0</v>
      </c>
      <c r="I5" s="3"/>
      <c r="J5" s="12">
        <f t="shared" ref="J5:O5" si="0">C5*$B5</f>
        <v>0</v>
      </c>
      <c r="K5" s="12">
        <f t="shared" si="0"/>
        <v>0</v>
      </c>
      <c r="L5" s="12">
        <f t="shared" si="0"/>
        <v>0</v>
      </c>
      <c r="M5" s="12">
        <f t="shared" si="0"/>
        <v>2</v>
      </c>
      <c r="N5" s="12">
        <f t="shared" si="0"/>
        <v>2</v>
      </c>
      <c r="O5" s="12">
        <f t="shared" si="0"/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0" t="s">
        <v>21</v>
      </c>
      <c r="B6" s="11">
        <v>3</v>
      </c>
      <c r="C6" s="12">
        <v>1</v>
      </c>
      <c r="D6" s="12">
        <v>1</v>
      </c>
      <c r="E6" s="12">
        <v>0</v>
      </c>
      <c r="F6" s="12">
        <v>0</v>
      </c>
      <c r="G6" s="12">
        <v>0</v>
      </c>
      <c r="H6" s="12">
        <v>0</v>
      </c>
      <c r="I6" s="3"/>
      <c r="J6" s="12">
        <f t="shared" ref="J6:O6" si="1">C6*$B6</f>
        <v>3</v>
      </c>
      <c r="K6" s="12">
        <f t="shared" si="1"/>
        <v>3</v>
      </c>
      <c r="L6" s="12">
        <f t="shared" si="1"/>
        <v>0</v>
      </c>
      <c r="M6" s="12">
        <f t="shared" si="1"/>
        <v>0</v>
      </c>
      <c r="N6" s="12">
        <f t="shared" si="1"/>
        <v>0</v>
      </c>
      <c r="O6" s="12">
        <f t="shared" si="1"/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0" t="s">
        <v>22</v>
      </c>
      <c r="B7" s="11">
        <v>3</v>
      </c>
      <c r="C7" s="12">
        <v>1</v>
      </c>
      <c r="D7" s="12">
        <v>0</v>
      </c>
      <c r="E7" s="12">
        <v>0</v>
      </c>
      <c r="F7" s="12">
        <v>1</v>
      </c>
      <c r="G7" s="12">
        <v>0</v>
      </c>
      <c r="H7" s="12">
        <v>0</v>
      </c>
      <c r="I7" s="3"/>
      <c r="J7" s="12">
        <f t="shared" ref="J7:O7" si="2">C7*$B7</f>
        <v>3</v>
      </c>
      <c r="K7" s="12">
        <f t="shared" si="2"/>
        <v>0</v>
      </c>
      <c r="L7" s="12">
        <f t="shared" si="2"/>
        <v>0</v>
      </c>
      <c r="M7" s="12">
        <f t="shared" si="2"/>
        <v>3</v>
      </c>
      <c r="N7" s="12">
        <f t="shared" si="2"/>
        <v>0</v>
      </c>
      <c r="O7" s="12">
        <f t="shared" si="2"/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0" t="s">
        <v>23</v>
      </c>
      <c r="B8" s="11">
        <v>3</v>
      </c>
      <c r="C8" s="12">
        <v>1</v>
      </c>
      <c r="D8" s="12">
        <v>0</v>
      </c>
      <c r="E8" s="12">
        <v>0</v>
      </c>
      <c r="F8" s="12">
        <v>0</v>
      </c>
      <c r="G8" s="12">
        <v>0</v>
      </c>
      <c r="H8" s="12">
        <v>1</v>
      </c>
      <c r="I8" s="3"/>
      <c r="J8" s="12">
        <f t="shared" ref="J8:O8" si="3">C8*$B8</f>
        <v>3</v>
      </c>
      <c r="K8" s="12">
        <f t="shared" si="3"/>
        <v>0</v>
      </c>
      <c r="L8" s="12">
        <f t="shared" si="3"/>
        <v>0</v>
      </c>
      <c r="M8" s="12">
        <f t="shared" si="3"/>
        <v>0</v>
      </c>
      <c r="N8" s="12">
        <f t="shared" si="3"/>
        <v>0</v>
      </c>
      <c r="O8" s="12">
        <f t="shared" si="3"/>
        <v>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0" t="s">
        <v>24</v>
      </c>
      <c r="B9" s="11">
        <v>3</v>
      </c>
      <c r="C9" s="12">
        <v>1</v>
      </c>
      <c r="D9" s="12">
        <v>0</v>
      </c>
      <c r="E9" s="12">
        <v>0</v>
      </c>
      <c r="F9" s="12">
        <v>1</v>
      </c>
      <c r="G9" s="12">
        <v>0</v>
      </c>
      <c r="H9" s="12">
        <v>0</v>
      </c>
      <c r="I9" s="3"/>
      <c r="J9" s="12">
        <f t="shared" ref="J9:O9" si="4">C9*$B9</f>
        <v>3</v>
      </c>
      <c r="K9" s="12">
        <f t="shared" si="4"/>
        <v>0</v>
      </c>
      <c r="L9" s="12">
        <f t="shared" si="4"/>
        <v>0</v>
      </c>
      <c r="M9" s="12">
        <f t="shared" si="4"/>
        <v>3</v>
      </c>
      <c r="N9" s="12">
        <f t="shared" si="4"/>
        <v>0</v>
      </c>
      <c r="O9" s="12">
        <f t="shared" si="4"/>
        <v>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0" t="s">
        <v>25</v>
      </c>
      <c r="B10" s="11">
        <v>2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1</v>
      </c>
      <c r="I10" s="3"/>
      <c r="J10" s="12">
        <f t="shared" ref="J10:O10" si="5">C10*$B10</f>
        <v>2</v>
      </c>
      <c r="K10" s="12">
        <f t="shared" si="5"/>
        <v>0</v>
      </c>
      <c r="L10" s="12">
        <f t="shared" si="5"/>
        <v>2</v>
      </c>
      <c r="M10" s="12">
        <f t="shared" si="5"/>
        <v>0</v>
      </c>
      <c r="N10" s="12">
        <f t="shared" si="5"/>
        <v>0</v>
      </c>
      <c r="O10" s="12">
        <f t="shared" si="5"/>
        <v>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3" t="s">
        <v>26</v>
      </c>
      <c r="B11" s="11">
        <v>2</v>
      </c>
      <c r="C11" s="12">
        <v>1</v>
      </c>
      <c r="D11" s="12">
        <v>1</v>
      </c>
      <c r="E11" s="12">
        <v>1</v>
      </c>
      <c r="F11" s="12">
        <v>0</v>
      </c>
      <c r="G11" s="12">
        <v>0</v>
      </c>
      <c r="H11" s="12">
        <v>0</v>
      </c>
      <c r="I11" s="3"/>
      <c r="J11" s="12">
        <f t="shared" ref="J11:O11" si="6">C11*$B11</f>
        <v>2</v>
      </c>
      <c r="K11" s="12">
        <f t="shared" si="6"/>
        <v>2</v>
      </c>
      <c r="L11" s="12">
        <f t="shared" si="6"/>
        <v>2</v>
      </c>
      <c r="M11" s="12">
        <f t="shared" si="6"/>
        <v>0</v>
      </c>
      <c r="N11" s="12">
        <f t="shared" si="6"/>
        <v>0</v>
      </c>
      <c r="O11" s="12">
        <f t="shared" si="6"/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0" t="s">
        <v>27</v>
      </c>
      <c r="B12" s="11">
        <v>2</v>
      </c>
      <c r="C12" s="12">
        <v>0</v>
      </c>
      <c r="D12" s="12">
        <v>0</v>
      </c>
      <c r="E12" s="12">
        <v>0</v>
      </c>
      <c r="F12" s="12">
        <v>1</v>
      </c>
      <c r="G12" s="12">
        <v>1</v>
      </c>
      <c r="H12" s="12">
        <v>0</v>
      </c>
      <c r="I12" s="3"/>
      <c r="J12" s="12">
        <f t="shared" ref="J12:O12" si="7">C12*$B12</f>
        <v>0</v>
      </c>
      <c r="K12" s="12">
        <f t="shared" si="7"/>
        <v>0</v>
      </c>
      <c r="L12" s="12">
        <f t="shared" si="7"/>
        <v>0</v>
      </c>
      <c r="M12" s="12">
        <f t="shared" si="7"/>
        <v>2</v>
      </c>
      <c r="N12" s="12">
        <f t="shared" si="7"/>
        <v>2</v>
      </c>
      <c r="O12" s="12">
        <f t="shared" si="7"/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0" t="s">
        <v>28</v>
      </c>
      <c r="B13" s="11">
        <v>2</v>
      </c>
      <c r="C13" s="12">
        <v>1</v>
      </c>
      <c r="D13" s="12">
        <v>1</v>
      </c>
      <c r="E13" s="12">
        <v>0</v>
      </c>
      <c r="F13" s="12">
        <v>1</v>
      </c>
      <c r="G13" s="12">
        <v>0</v>
      </c>
      <c r="H13" s="12">
        <v>0</v>
      </c>
      <c r="I13" s="3"/>
      <c r="J13" s="12">
        <f t="shared" ref="J13:O13" si="8">C13*$B13</f>
        <v>2</v>
      </c>
      <c r="K13" s="12">
        <f t="shared" si="8"/>
        <v>2</v>
      </c>
      <c r="L13" s="12">
        <f t="shared" si="8"/>
        <v>0</v>
      </c>
      <c r="M13" s="12">
        <f t="shared" si="8"/>
        <v>2</v>
      </c>
      <c r="N13" s="12">
        <f t="shared" si="8"/>
        <v>0</v>
      </c>
      <c r="O13" s="12">
        <f t="shared" si="8"/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0" t="s">
        <v>29</v>
      </c>
      <c r="B14" s="11">
        <v>2</v>
      </c>
      <c r="C14" s="12">
        <v>1</v>
      </c>
      <c r="D14" s="12">
        <v>0</v>
      </c>
      <c r="E14" s="12">
        <v>1</v>
      </c>
      <c r="F14" s="12">
        <v>1</v>
      </c>
      <c r="G14" s="12">
        <v>0</v>
      </c>
      <c r="H14" s="12">
        <v>1</v>
      </c>
      <c r="I14" s="3"/>
      <c r="J14" s="12">
        <f t="shared" ref="J14:O14" si="9">C14*$B14</f>
        <v>2</v>
      </c>
      <c r="K14" s="12">
        <f t="shared" si="9"/>
        <v>0</v>
      </c>
      <c r="L14" s="12">
        <f t="shared" si="9"/>
        <v>2</v>
      </c>
      <c r="M14" s="12">
        <f t="shared" si="9"/>
        <v>2</v>
      </c>
      <c r="N14" s="12">
        <f t="shared" si="9"/>
        <v>0</v>
      </c>
      <c r="O14" s="12">
        <f t="shared" si="9"/>
        <v>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0" t="s">
        <v>30</v>
      </c>
      <c r="B15" s="11">
        <v>3</v>
      </c>
      <c r="C15" s="12">
        <v>1</v>
      </c>
      <c r="D15" s="12">
        <v>0</v>
      </c>
      <c r="E15" s="12">
        <v>0</v>
      </c>
      <c r="F15" s="12">
        <v>1</v>
      </c>
      <c r="G15" s="12">
        <v>0</v>
      </c>
      <c r="H15" s="12">
        <v>1</v>
      </c>
      <c r="I15" s="3"/>
      <c r="J15" s="12">
        <f t="shared" ref="J15:O15" si="10">C15*$B15</f>
        <v>3</v>
      </c>
      <c r="K15" s="12">
        <f t="shared" si="10"/>
        <v>0</v>
      </c>
      <c r="L15" s="12">
        <f t="shared" si="10"/>
        <v>0</v>
      </c>
      <c r="M15" s="12">
        <f t="shared" si="10"/>
        <v>3</v>
      </c>
      <c r="N15" s="12">
        <f t="shared" si="10"/>
        <v>0</v>
      </c>
      <c r="O15" s="12">
        <f t="shared" si="10"/>
        <v>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0" t="s">
        <v>31</v>
      </c>
      <c r="B16" s="11">
        <v>3</v>
      </c>
      <c r="C16" s="12">
        <v>1</v>
      </c>
      <c r="D16" s="12">
        <v>0</v>
      </c>
      <c r="E16" s="12">
        <v>0</v>
      </c>
      <c r="F16" s="12">
        <v>1</v>
      </c>
      <c r="G16" s="12">
        <v>0</v>
      </c>
      <c r="H16" s="12">
        <v>0</v>
      </c>
      <c r="I16" s="3"/>
      <c r="J16" s="12">
        <f t="shared" ref="J16:O16" si="11">C16*$B16</f>
        <v>3</v>
      </c>
      <c r="K16" s="12">
        <f t="shared" si="11"/>
        <v>0</v>
      </c>
      <c r="L16" s="12">
        <f t="shared" si="11"/>
        <v>0</v>
      </c>
      <c r="M16" s="12">
        <f t="shared" si="11"/>
        <v>3</v>
      </c>
      <c r="N16" s="12">
        <f t="shared" si="11"/>
        <v>0</v>
      </c>
      <c r="O16" s="12">
        <f t="shared" si="11"/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0" t="s">
        <v>32</v>
      </c>
      <c r="B17" s="11">
        <v>3</v>
      </c>
      <c r="C17" s="12">
        <v>1</v>
      </c>
      <c r="D17" s="12">
        <v>1</v>
      </c>
      <c r="E17" s="12">
        <v>0</v>
      </c>
      <c r="F17" s="12">
        <v>0</v>
      </c>
      <c r="G17" s="12">
        <v>0</v>
      </c>
      <c r="H17" s="12">
        <v>1</v>
      </c>
      <c r="I17" s="3"/>
      <c r="J17" s="12">
        <f t="shared" ref="J17:O17" si="12">C17*$B17</f>
        <v>3</v>
      </c>
      <c r="K17" s="12">
        <f t="shared" si="12"/>
        <v>3</v>
      </c>
      <c r="L17" s="12">
        <f t="shared" si="12"/>
        <v>0</v>
      </c>
      <c r="M17" s="12">
        <f t="shared" si="12"/>
        <v>0</v>
      </c>
      <c r="N17" s="12">
        <f t="shared" si="12"/>
        <v>0</v>
      </c>
      <c r="O17" s="12">
        <f t="shared" si="12"/>
        <v>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10" t="s">
        <v>33</v>
      </c>
      <c r="B18" s="11">
        <v>1</v>
      </c>
      <c r="C18" s="12">
        <v>1</v>
      </c>
      <c r="D18" s="12">
        <v>0</v>
      </c>
      <c r="E18" s="12">
        <v>1</v>
      </c>
      <c r="F18" s="12">
        <v>0</v>
      </c>
      <c r="G18" s="12">
        <v>1</v>
      </c>
      <c r="H18" s="12">
        <v>0</v>
      </c>
      <c r="I18" s="3"/>
      <c r="J18" s="12">
        <f t="shared" ref="J18:O18" si="13">C18*$B18</f>
        <v>1</v>
      </c>
      <c r="K18" s="12">
        <f t="shared" si="13"/>
        <v>0</v>
      </c>
      <c r="L18" s="12">
        <f t="shared" si="13"/>
        <v>1</v>
      </c>
      <c r="M18" s="12">
        <f t="shared" si="13"/>
        <v>0</v>
      </c>
      <c r="N18" s="12">
        <f t="shared" si="13"/>
        <v>1</v>
      </c>
      <c r="O18" s="12">
        <f t="shared" si="13"/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10" t="s">
        <v>34</v>
      </c>
      <c r="B19" s="11">
        <v>1</v>
      </c>
      <c r="C19" s="12">
        <v>1</v>
      </c>
      <c r="D19" s="12">
        <v>0</v>
      </c>
      <c r="E19" s="12">
        <v>1</v>
      </c>
      <c r="F19" s="12">
        <v>0</v>
      </c>
      <c r="G19" s="12">
        <v>1</v>
      </c>
      <c r="H19" s="12">
        <v>0</v>
      </c>
      <c r="I19" s="3"/>
      <c r="J19" s="12">
        <f t="shared" ref="J19:O19" si="14">C19*$B19</f>
        <v>1</v>
      </c>
      <c r="K19" s="12">
        <f t="shared" si="14"/>
        <v>0</v>
      </c>
      <c r="L19" s="12">
        <f t="shared" si="14"/>
        <v>1</v>
      </c>
      <c r="M19" s="12">
        <f t="shared" si="14"/>
        <v>0</v>
      </c>
      <c r="N19" s="12">
        <f t="shared" si="14"/>
        <v>1</v>
      </c>
      <c r="O19" s="12">
        <f t="shared" si="14"/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13" t="s">
        <v>35</v>
      </c>
      <c r="B20" s="11">
        <v>3</v>
      </c>
      <c r="C20" s="12">
        <v>1</v>
      </c>
      <c r="D20" s="12">
        <v>0</v>
      </c>
      <c r="E20" s="12">
        <v>0</v>
      </c>
      <c r="F20" s="12">
        <v>1</v>
      </c>
      <c r="G20" s="12">
        <v>0</v>
      </c>
      <c r="H20" s="12">
        <v>0</v>
      </c>
      <c r="I20" s="3"/>
      <c r="J20" s="12">
        <f t="shared" ref="J20:O20" si="15">C20*$B20</f>
        <v>3</v>
      </c>
      <c r="K20" s="12">
        <f t="shared" si="15"/>
        <v>0</v>
      </c>
      <c r="L20" s="12">
        <f t="shared" si="15"/>
        <v>0</v>
      </c>
      <c r="M20" s="12">
        <f t="shared" si="15"/>
        <v>3</v>
      </c>
      <c r="N20" s="12">
        <f t="shared" si="15"/>
        <v>0</v>
      </c>
      <c r="O20" s="12">
        <f t="shared" si="15"/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10" t="s">
        <v>36</v>
      </c>
      <c r="B21" s="11">
        <v>2</v>
      </c>
      <c r="C21" s="12">
        <v>0</v>
      </c>
      <c r="D21" s="12">
        <v>0</v>
      </c>
      <c r="E21" s="12">
        <v>0</v>
      </c>
      <c r="F21" s="12">
        <v>1</v>
      </c>
      <c r="G21" s="12">
        <v>1</v>
      </c>
      <c r="H21" s="12">
        <v>0</v>
      </c>
      <c r="I21" s="3"/>
      <c r="J21" s="12">
        <f t="shared" ref="J21:O21" si="16">C21*$B21</f>
        <v>0</v>
      </c>
      <c r="K21" s="12">
        <f t="shared" si="16"/>
        <v>0</v>
      </c>
      <c r="L21" s="12">
        <f t="shared" si="16"/>
        <v>0</v>
      </c>
      <c r="M21" s="12">
        <f t="shared" si="16"/>
        <v>2</v>
      </c>
      <c r="N21" s="12">
        <f t="shared" si="16"/>
        <v>2</v>
      </c>
      <c r="O21" s="12">
        <f t="shared" si="16"/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10" t="s">
        <v>37</v>
      </c>
      <c r="B22" s="11">
        <v>2</v>
      </c>
      <c r="C22" s="12">
        <v>1</v>
      </c>
      <c r="D22" s="12">
        <v>1</v>
      </c>
      <c r="E22" s="12">
        <v>0</v>
      </c>
      <c r="F22" s="12">
        <v>1</v>
      </c>
      <c r="G22" s="12">
        <v>0</v>
      </c>
      <c r="H22" s="12">
        <v>0</v>
      </c>
      <c r="I22" s="3"/>
      <c r="J22" s="12">
        <f t="shared" ref="J22:O22" si="17">C22*$B22</f>
        <v>2</v>
      </c>
      <c r="K22" s="12">
        <f t="shared" si="17"/>
        <v>2</v>
      </c>
      <c r="L22" s="12">
        <f t="shared" si="17"/>
        <v>0</v>
      </c>
      <c r="M22" s="12">
        <f t="shared" si="17"/>
        <v>2</v>
      </c>
      <c r="N22" s="12">
        <f t="shared" si="17"/>
        <v>0</v>
      </c>
      <c r="O22" s="12">
        <f t="shared" si="17"/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10" t="s">
        <v>38</v>
      </c>
      <c r="B23" s="11">
        <v>3</v>
      </c>
      <c r="C23" s="12">
        <v>1</v>
      </c>
      <c r="D23" s="12">
        <v>0</v>
      </c>
      <c r="E23" s="12"/>
      <c r="F23" s="12">
        <v>1</v>
      </c>
      <c r="G23" s="12">
        <v>1</v>
      </c>
      <c r="H23" s="12">
        <v>0</v>
      </c>
      <c r="I23" s="3"/>
      <c r="J23" s="12">
        <f t="shared" ref="J23:O23" si="18">C23*$B23</f>
        <v>3</v>
      </c>
      <c r="K23" s="12">
        <f t="shared" si="18"/>
        <v>0</v>
      </c>
      <c r="L23" s="12">
        <f t="shared" si="18"/>
        <v>0</v>
      </c>
      <c r="M23" s="12">
        <f t="shared" si="18"/>
        <v>3</v>
      </c>
      <c r="N23" s="12">
        <f t="shared" si="18"/>
        <v>3</v>
      </c>
      <c r="O23" s="12">
        <f t="shared" si="18"/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10" t="s">
        <v>39</v>
      </c>
      <c r="B24" s="11">
        <v>3</v>
      </c>
      <c r="C24" s="12">
        <v>1</v>
      </c>
      <c r="D24" s="12">
        <v>0</v>
      </c>
      <c r="E24" s="12">
        <v>0</v>
      </c>
      <c r="F24" s="12">
        <v>1</v>
      </c>
      <c r="G24" s="12">
        <v>0</v>
      </c>
      <c r="H24" s="12">
        <v>0</v>
      </c>
      <c r="I24" s="3"/>
      <c r="J24" s="12">
        <f t="shared" ref="J24:O24" si="19">C24*$B24</f>
        <v>3</v>
      </c>
      <c r="K24" s="12">
        <f t="shared" si="19"/>
        <v>0</v>
      </c>
      <c r="L24" s="12">
        <f t="shared" si="19"/>
        <v>0</v>
      </c>
      <c r="M24" s="12">
        <f t="shared" si="19"/>
        <v>3</v>
      </c>
      <c r="N24" s="12">
        <f t="shared" si="19"/>
        <v>0</v>
      </c>
      <c r="O24" s="12">
        <f t="shared" si="19"/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10" t="s">
        <v>40</v>
      </c>
      <c r="B25" s="11">
        <v>2</v>
      </c>
      <c r="C25" s="12">
        <v>1</v>
      </c>
      <c r="D25" s="12">
        <v>1</v>
      </c>
      <c r="E25" s="12">
        <v>0</v>
      </c>
      <c r="F25" s="12">
        <v>1</v>
      </c>
      <c r="G25" s="12">
        <v>0</v>
      </c>
      <c r="H25" s="12">
        <v>0</v>
      </c>
      <c r="I25" s="3"/>
      <c r="J25" s="12">
        <f t="shared" ref="J25:O25" si="20">C25*$B25</f>
        <v>2</v>
      </c>
      <c r="K25" s="12">
        <f t="shared" si="20"/>
        <v>2</v>
      </c>
      <c r="L25" s="12">
        <f t="shared" si="20"/>
        <v>0</v>
      </c>
      <c r="M25" s="12">
        <f t="shared" si="20"/>
        <v>2</v>
      </c>
      <c r="N25" s="12">
        <f t="shared" si="20"/>
        <v>0</v>
      </c>
      <c r="O25" s="12">
        <f t="shared" si="20"/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10" t="s">
        <v>41</v>
      </c>
      <c r="B26" s="11">
        <v>2</v>
      </c>
      <c r="C26" s="12">
        <v>1</v>
      </c>
      <c r="D26" s="12">
        <v>0</v>
      </c>
      <c r="E26" s="12">
        <v>1</v>
      </c>
      <c r="F26" s="12">
        <v>1</v>
      </c>
      <c r="G26" s="12">
        <v>0</v>
      </c>
      <c r="H26" s="12">
        <v>0</v>
      </c>
      <c r="I26" s="3"/>
      <c r="J26" s="12">
        <f t="shared" ref="J26:O26" si="21">C26*$B26</f>
        <v>2</v>
      </c>
      <c r="K26" s="12">
        <f t="shared" si="21"/>
        <v>0</v>
      </c>
      <c r="L26" s="12">
        <f t="shared" si="21"/>
        <v>2</v>
      </c>
      <c r="M26" s="12">
        <f t="shared" si="21"/>
        <v>2</v>
      </c>
      <c r="N26" s="12">
        <f t="shared" si="21"/>
        <v>0</v>
      </c>
      <c r="O26" s="12">
        <f t="shared" si="21"/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10" t="s">
        <v>42</v>
      </c>
      <c r="B27" s="11">
        <v>1</v>
      </c>
      <c r="C27" s="12">
        <v>0</v>
      </c>
      <c r="D27" s="12">
        <v>1</v>
      </c>
      <c r="E27" s="12">
        <v>1</v>
      </c>
      <c r="F27" s="12">
        <v>0</v>
      </c>
      <c r="G27" s="12">
        <v>1</v>
      </c>
      <c r="H27" s="12">
        <v>0</v>
      </c>
      <c r="I27" s="3"/>
      <c r="J27" s="12">
        <f t="shared" ref="J27:O27" si="22">C27*$B27</f>
        <v>0</v>
      </c>
      <c r="K27" s="12">
        <f t="shared" si="22"/>
        <v>1</v>
      </c>
      <c r="L27" s="12">
        <f t="shared" si="22"/>
        <v>1</v>
      </c>
      <c r="M27" s="12">
        <f t="shared" si="22"/>
        <v>0</v>
      </c>
      <c r="N27" s="12">
        <f t="shared" si="22"/>
        <v>1</v>
      </c>
      <c r="O27" s="12">
        <f t="shared" si="22"/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10" t="s">
        <v>43</v>
      </c>
      <c r="B28" s="11">
        <v>1</v>
      </c>
      <c r="C28" s="12">
        <v>0</v>
      </c>
      <c r="D28" s="12">
        <v>1</v>
      </c>
      <c r="E28" s="12">
        <v>1</v>
      </c>
      <c r="F28" s="12">
        <v>0</v>
      </c>
      <c r="G28" s="12">
        <v>1</v>
      </c>
      <c r="H28" s="12">
        <v>0</v>
      </c>
      <c r="I28" s="3"/>
      <c r="J28" s="12">
        <f t="shared" ref="J28:O28" si="23">C28*$B28</f>
        <v>0</v>
      </c>
      <c r="K28" s="12">
        <f t="shared" si="23"/>
        <v>1</v>
      </c>
      <c r="L28" s="12">
        <f t="shared" si="23"/>
        <v>1</v>
      </c>
      <c r="M28" s="12">
        <f t="shared" si="23"/>
        <v>0</v>
      </c>
      <c r="N28" s="12">
        <f t="shared" si="23"/>
        <v>1</v>
      </c>
      <c r="O28" s="12">
        <f t="shared" si="23"/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10" t="s">
        <v>44</v>
      </c>
      <c r="B29" s="11">
        <v>3</v>
      </c>
      <c r="C29" s="12">
        <v>1</v>
      </c>
      <c r="D29" s="12">
        <v>1</v>
      </c>
      <c r="E29" s="12">
        <v>0</v>
      </c>
      <c r="F29" s="12">
        <v>1</v>
      </c>
      <c r="G29" s="12">
        <v>0</v>
      </c>
      <c r="H29" s="12">
        <v>0</v>
      </c>
      <c r="I29" s="3"/>
      <c r="J29" s="12">
        <f t="shared" ref="J29:O29" si="24">C29*$B29</f>
        <v>3</v>
      </c>
      <c r="K29" s="12">
        <f t="shared" si="24"/>
        <v>3</v>
      </c>
      <c r="L29" s="12">
        <f t="shared" si="24"/>
        <v>0</v>
      </c>
      <c r="M29" s="12">
        <f t="shared" si="24"/>
        <v>3</v>
      </c>
      <c r="N29" s="12">
        <f t="shared" si="24"/>
        <v>0</v>
      </c>
      <c r="O29" s="12">
        <f t="shared" si="24"/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13" t="s">
        <v>45</v>
      </c>
      <c r="B30" s="11">
        <v>1</v>
      </c>
      <c r="C30" s="12">
        <v>0</v>
      </c>
      <c r="D30" s="12">
        <v>1</v>
      </c>
      <c r="E30" s="12">
        <v>1</v>
      </c>
      <c r="F30" s="12">
        <v>0</v>
      </c>
      <c r="G30" s="12">
        <v>1</v>
      </c>
      <c r="H30" s="12">
        <v>0</v>
      </c>
      <c r="I30" s="3"/>
      <c r="J30" s="12">
        <f t="shared" ref="J30:O30" si="25">C30*$B30</f>
        <v>0</v>
      </c>
      <c r="K30" s="12">
        <f t="shared" si="25"/>
        <v>1</v>
      </c>
      <c r="L30" s="12">
        <f t="shared" si="25"/>
        <v>1</v>
      </c>
      <c r="M30" s="12">
        <f t="shared" si="25"/>
        <v>0</v>
      </c>
      <c r="N30" s="12">
        <f t="shared" si="25"/>
        <v>1</v>
      </c>
      <c r="O30" s="12">
        <f t="shared" si="25"/>
        <v>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10" t="s">
        <v>46</v>
      </c>
      <c r="B31" s="11">
        <v>2</v>
      </c>
      <c r="C31" s="12">
        <v>1</v>
      </c>
      <c r="D31" s="12">
        <v>0</v>
      </c>
      <c r="E31" s="12">
        <v>1</v>
      </c>
      <c r="F31" s="12">
        <v>1</v>
      </c>
      <c r="G31" s="12">
        <v>1</v>
      </c>
      <c r="H31" s="12">
        <v>0</v>
      </c>
      <c r="I31" s="3"/>
      <c r="J31" s="12">
        <f t="shared" ref="J31:O31" si="26">C31*$B31</f>
        <v>2</v>
      </c>
      <c r="K31" s="12">
        <f t="shared" si="26"/>
        <v>0</v>
      </c>
      <c r="L31" s="12">
        <f t="shared" si="26"/>
        <v>2</v>
      </c>
      <c r="M31" s="12">
        <f t="shared" si="26"/>
        <v>2</v>
      </c>
      <c r="N31" s="12">
        <f t="shared" si="26"/>
        <v>2</v>
      </c>
      <c r="O31" s="12">
        <f t="shared" si="26"/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10" t="s">
        <v>47</v>
      </c>
      <c r="B32" s="11">
        <v>2</v>
      </c>
      <c r="C32" s="12">
        <v>0</v>
      </c>
      <c r="D32" s="12">
        <v>0</v>
      </c>
      <c r="E32" s="12">
        <v>0</v>
      </c>
      <c r="F32" s="12">
        <v>1</v>
      </c>
      <c r="G32" s="12">
        <v>0</v>
      </c>
      <c r="H32" s="12">
        <v>1</v>
      </c>
      <c r="I32" s="3"/>
      <c r="J32" s="12">
        <f t="shared" ref="J32:O32" si="27">C32*$B32</f>
        <v>0</v>
      </c>
      <c r="K32" s="12">
        <f t="shared" si="27"/>
        <v>0</v>
      </c>
      <c r="L32" s="12">
        <f t="shared" si="27"/>
        <v>0</v>
      </c>
      <c r="M32" s="12">
        <f t="shared" si="27"/>
        <v>2</v>
      </c>
      <c r="N32" s="12">
        <f t="shared" si="27"/>
        <v>0</v>
      </c>
      <c r="O32" s="12">
        <f t="shared" si="27"/>
        <v>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10" t="s">
        <v>48</v>
      </c>
      <c r="B33" s="11">
        <v>2</v>
      </c>
      <c r="C33" s="12">
        <v>1</v>
      </c>
      <c r="D33" s="12">
        <v>0</v>
      </c>
      <c r="E33" s="12"/>
      <c r="F33" s="12">
        <v>1</v>
      </c>
      <c r="G33" s="12">
        <v>1</v>
      </c>
      <c r="H33" s="12">
        <v>0</v>
      </c>
      <c r="I33" s="3"/>
      <c r="J33" s="12">
        <f t="shared" ref="J33:O33" si="28">C33*$B33</f>
        <v>2</v>
      </c>
      <c r="K33" s="12">
        <f t="shared" si="28"/>
        <v>0</v>
      </c>
      <c r="L33" s="12">
        <f t="shared" si="28"/>
        <v>0</v>
      </c>
      <c r="M33" s="12">
        <f t="shared" si="28"/>
        <v>2</v>
      </c>
      <c r="N33" s="12">
        <f t="shared" si="28"/>
        <v>2</v>
      </c>
      <c r="O33" s="12">
        <f t="shared" si="28"/>
        <v>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10" t="s">
        <v>49</v>
      </c>
      <c r="B34" s="11">
        <v>3</v>
      </c>
      <c r="C34" s="12">
        <v>1</v>
      </c>
      <c r="D34" s="12">
        <v>0</v>
      </c>
      <c r="E34" s="12">
        <v>0</v>
      </c>
      <c r="F34" s="12">
        <v>1</v>
      </c>
      <c r="G34" s="12">
        <v>0</v>
      </c>
      <c r="H34" s="12">
        <v>0</v>
      </c>
      <c r="I34" s="3"/>
      <c r="J34" s="12">
        <f t="shared" ref="J34:O34" si="29">C34*$B34</f>
        <v>3</v>
      </c>
      <c r="K34" s="12">
        <f t="shared" si="29"/>
        <v>0</v>
      </c>
      <c r="L34" s="12">
        <f t="shared" si="29"/>
        <v>0</v>
      </c>
      <c r="M34" s="12">
        <f t="shared" si="29"/>
        <v>3</v>
      </c>
      <c r="N34" s="12">
        <f t="shared" si="29"/>
        <v>0</v>
      </c>
      <c r="O34" s="12">
        <f t="shared" si="29"/>
        <v>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10" t="s">
        <v>50</v>
      </c>
      <c r="B35" s="11">
        <v>3</v>
      </c>
      <c r="C35" s="12">
        <v>1</v>
      </c>
      <c r="D35" s="12">
        <v>1</v>
      </c>
      <c r="E35" s="12">
        <v>1</v>
      </c>
      <c r="F35" s="12">
        <v>0</v>
      </c>
      <c r="G35" s="12">
        <v>0</v>
      </c>
      <c r="H35" s="12">
        <v>0</v>
      </c>
      <c r="I35" s="3"/>
      <c r="J35" s="12">
        <f t="shared" ref="J35:O35" si="30">C35*$B35</f>
        <v>3</v>
      </c>
      <c r="K35" s="12">
        <f t="shared" si="30"/>
        <v>3</v>
      </c>
      <c r="L35" s="12">
        <f t="shared" si="30"/>
        <v>3</v>
      </c>
      <c r="M35" s="12">
        <f t="shared" si="30"/>
        <v>0</v>
      </c>
      <c r="N35" s="12">
        <f t="shared" si="30"/>
        <v>0</v>
      </c>
      <c r="O35" s="12">
        <f t="shared" si="30"/>
        <v>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10" t="s">
        <v>51</v>
      </c>
      <c r="B36" s="11">
        <v>1</v>
      </c>
      <c r="C36" s="12">
        <v>0</v>
      </c>
      <c r="D36" s="12">
        <v>1</v>
      </c>
      <c r="E36" s="12">
        <v>1</v>
      </c>
      <c r="F36" s="12">
        <v>0</v>
      </c>
      <c r="G36" s="12">
        <v>1</v>
      </c>
      <c r="H36" s="12">
        <v>0</v>
      </c>
      <c r="I36" s="3"/>
      <c r="J36" s="12">
        <f t="shared" ref="J36:O36" si="31">C36*$B36</f>
        <v>0</v>
      </c>
      <c r="K36" s="12">
        <f t="shared" si="31"/>
        <v>1</v>
      </c>
      <c r="L36" s="12">
        <f t="shared" si="31"/>
        <v>1</v>
      </c>
      <c r="M36" s="12">
        <f t="shared" si="31"/>
        <v>0</v>
      </c>
      <c r="N36" s="12">
        <f t="shared" si="31"/>
        <v>1</v>
      </c>
      <c r="O36" s="12">
        <f t="shared" si="31"/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10" t="s">
        <v>52</v>
      </c>
      <c r="B37" s="11">
        <v>1</v>
      </c>
      <c r="C37" s="12">
        <v>0</v>
      </c>
      <c r="D37" s="12">
        <v>1</v>
      </c>
      <c r="E37" s="12">
        <v>1</v>
      </c>
      <c r="F37" s="12">
        <v>0</v>
      </c>
      <c r="G37" s="12">
        <v>1</v>
      </c>
      <c r="H37" s="12">
        <v>0</v>
      </c>
      <c r="I37" s="3"/>
      <c r="J37" s="12">
        <f t="shared" ref="J37:O37" si="32">C37*$B37</f>
        <v>0</v>
      </c>
      <c r="K37" s="12">
        <f t="shared" si="32"/>
        <v>1</v>
      </c>
      <c r="L37" s="12">
        <f t="shared" si="32"/>
        <v>1</v>
      </c>
      <c r="M37" s="12">
        <f t="shared" si="32"/>
        <v>0</v>
      </c>
      <c r="N37" s="12">
        <f t="shared" si="32"/>
        <v>1</v>
      </c>
      <c r="O37" s="12">
        <f t="shared" si="32"/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10" t="s">
        <v>53</v>
      </c>
      <c r="B38" s="11">
        <v>2</v>
      </c>
      <c r="C38" s="12">
        <v>1</v>
      </c>
      <c r="D38" s="12">
        <v>1</v>
      </c>
      <c r="E38" s="12">
        <v>1</v>
      </c>
      <c r="F38" s="12">
        <v>0</v>
      </c>
      <c r="G38" s="12">
        <v>0</v>
      </c>
      <c r="H38" s="12">
        <v>0</v>
      </c>
      <c r="I38" s="3"/>
      <c r="J38" s="12">
        <f t="shared" ref="J38:O38" si="33">C38*$B38</f>
        <v>2</v>
      </c>
      <c r="K38" s="12">
        <f t="shared" si="33"/>
        <v>2</v>
      </c>
      <c r="L38" s="12">
        <f t="shared" si="33"/>
        <v>2</v>
      </c>
      <c r="M38" s="12">
        <f t="shared" si="33"/>
        <v>0</v>
      </c>
      <c r="N38" s="12">
        <f t="shared" si="33"/>
        <v>0</v>
      </c>
      <c r="O38" s="12">
        <f t="shared" si="33"/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10" t="s">
        <v>54</v>
      </c>
      <c r="B39" s="11">
        <v>3</v>
      </c>
      <c r="C39" s="12">
        <v>1</v>
      </c>
      <c r="D39" s="12">
        <v>1</v>
      </c>
      <c r="E39" s="12">
        <v>0</v>
      </c>
      <c r="F39" s="12">
        <v>1</v>
      </c>
      <c r="G39" s="12">
        <v>0</v>
      </c>
      <c r="H39" s="12">
        <v>0</v>
      </c>
      <c r="I39" s="3"/>
      <c r="J39" s="12">
        <f t="shared" ref="J39:O39" si="34">C39*$B39</f>
        <v>3</v>
      </c>
      <c r="K39" s="12">
        <f t="shared" si="34"/>
        <v>3</v>
      </c>
      <c r="L39" s="12">
        <f t="shared" si="34"/>
        <v>0</v>
      </c>
      <c r="M39" s="12">
        <f t="shared" si="34"/>
        <v>3</v>
      </c>
      <c r="N39" s="12">
        <f t="shared" si="34"/>
        <v>0</v>
      </c>
      <c r="O39" s="12">
        <f t="shared" si="34"/>
        <v>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10" t="s">
        <v>55</v>
      </c>
      <c r="B40" s="11">
        <v>1</v>
      </c>
      <c r="C40" s="12">
        <v>0</v>
      </c>
      <c r="D40" s="12">
        <v>1</v>
      </c>
      <c r="E40" s="12">
        <v>1</v>
      </c>
      <c r="F40" s="12">
        <v>0</v>
      </c>
      <c r="G40" s="12">
        <v>1</v>
      </c>
      <c r="H40" s="12">
        <v>0</v>
      </c>
      <c r="I40" s="3"/>
      <c r="J40" s="12">
        <f t="shared" ref="J40:O40" si="35">C40*$B40</f>
        <v>0</v>
      </c>
      <c r="K40" s="12">
        <f t="shared" si="35"/>
        <v>1</v>
      </c>
      <c r="L40" s="12">
        <f t="shared" si="35"/>
        <v>1</v>
      </c>
      <c r="M40" s="12">
        <f t="shared" si="35"/>
        <v>0</v>
      </c>
      <c r="N40" s="12">
        <f t="shared" si="35"/>
        <v>1</v>
      </c>
      <c r="O40" s="12">
        <f t="shared" si="35"/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13" t="s">
        <v>56</v>
      </c>
      <c r="B41" s="11">
        <v>1</v>
      </c>
      <c r="C41" s="12">
        <v>0</v>
      </c>
      <c r="D41" s="12">
        <v>0</v>
      </c>
      <c r="E41" s="12">
        <v>1</v>
      </c>
      <c r="F41" s="12">
        <v>1</v>
      </c>
      <c r="G41" s="12">
        <v>1</v>
      </c>
      <c r="H41" s="12">
        <v>0</v>
      </c>
      <c r="I41" s="3"/>
      <c r="J41" s="12">
        <f t="shared" ref="J41:O41" si="36">C41*$B41</f>
        <v>0</v>
      </c>
      <c r="K41" s="12">
        <f t="shared" si="36"/>
        <v>0</v>
      </c>
      <c r="L41" s="12">
        <f t="shared" si="36"/>
        <v>1</v>
      </c>
      <c r="M41" s="12">
        <f t="shared" si="36"/>
        <v>1</v>
      </c>
      <c r="N41" s="12">
        <f t="shared" si="36"/>
        <v>1</v>
      </c>
      <c r="O41" s="12">
        <f t="shared" si="36"/>
        <v>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10" t="s">
        <v>57</v>
      </c>
      <c r="B42" s="11">
        <v>2</v>
      </c>
      <c r="C42" s="12">
        <v>0</v>
      </c>
      <c r="D42" s="12">
        <v>0</v>
      </c>
      <c r="E42" s="12">
        <v>0</v>
      </c>
      <c r="F42" s="12">
        <v>1</v>
      </c>
      <c r="G42" s="12">
        <v>1</v>
      </c>
      <c r="H42" s="12">
        <v>0</v>
      </c>
      <c r="I42" s="3"/>
      <c r="J42" s="12">
        <f t="shared" ref="J42:O42" si="37">C42*$B42</f>
        <v>0</v>
      </c>
      <c r="K42" s="12">
        <f t="shared" si="37"/>
        <v>0</v>
      </c>
      <c r="L42" s="12">
        <f t="shared" si="37"/>
        <v>0</v>
      </c>
      <c r="M42" s="12">
        <f t="shared" si="37"/>
        <v>2</v>
      </c>
      <c r="N42" s="12">
        <f t="shared" si="37"/>
        <v>2</v>
      </c>
      <c r="O42" s="12">
        <f t="shared" si="37"/>
        <v>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10" t="s">
        <v>58</v>
      </c>
      <c r="B43" s="11">
        <v>2</v>
      </c>
      <c r="C43" s="12">
        <v>1</v>
      </c>
      <c r="D43" s="12">
        <v>0</v>
      </c>
      <c r="E43" s="12">
        <v>1</v>
      </c>
      <c r="F43" s="12">
        <v>1</v>
      </c>
      <c r="G43" s="12">
        <v>0</v>
      </c>
      <c r="H43" s="12">
        <v>0</v>
      </c>
      <c r="I43" s="3"/>
      <c r="J43" s="12">
        <f t="shared" ref="J43:O43" si="38">C43*$B43</f>
        <v>2</v>
      </c>
      <c r="K43" s="12">
        <f t="shared" si="38"/>
        <v>0</v>
      </c>
      <c r="L43" s="12">
        <f t="shared" si="38"/>
        <v>2</v>
      </c>
      <c r="M43" s="12">
        <f t="shared" si="38"/>
        <v>2</v>
      </c>
      <c r="N43" s="12">
        <f t="shared" si="38"/>
        <v>0</v>
      </c>
      <c r="O43" s="12">
        <f t="shared" si="38"/>
        <v>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10" t="s">
        <v>59</v>
      </c>
      <c r="B44" s="11">
        <v>2</v>
      </c>
      <c r="C44" s="12">
        <v>1</v>
      </c>
      <c r="D44" s="12">
        <v>1</v>
      </c>
      <c r="E44" s="12">
        <v>0</v>
      </c>
      <c r="F44" s="12">
        <v>0</v>
      </c>
      <c r="G44" s="12">
        <v>1</v>
      </c>
      <c r="H44" s="12">
        <v>0</v>
      </c>
      <c r="I44" s="3"/>
      <c r="J44" s="12">
        <f t="shared" ref="J44:O44" si="39">C44*$B44</f>
        <v>2</v>
      </c>
      <c r="K44" s="12">
        <f t="shared" si="39"/>
        <v>2</v>
      </c>
      <c r="L44" s="12">
        <f t="shared" si="39"/>
        <v>0</v>
      </c>
      <c r="M44" s="12">
        <f t="shared" si="39"/>
        <v>0</v>
      </c>
      <c r="N44" s="12">
        <f t="shared" si="39"/>
        <v>2</v>
      </c>
      <c r="O44" s="12">
        <f t="shared" si="39"/>
        <v>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10" t="s">
        <v>60</v>
      </c>
      <c r="B45" s="11">
        <v>3</v>
      </c>
      <c r="C45" s="12">
        <v>0</v>
      </c>
      <c r="D45" s="12">
        <v>1</v>
      </c>
      <c r="E45" s="12">
        <v>1</v>
      </c>
      <c r="F45" s="12">
        <v>1</v>
      </c>
      <c r="G45" s="12">
        <v>0</v>
      </c>
      <c r="H45" s="12">
        <v>0</v>
      </c>
      <c r="I45" s="3"/>
      <c r="J45" s="12">
        <f t="shared" ref="J45:O45" si="40">C45*$B45</f>
        <v>0</v>
      </c>
      <c r="K45" s="12">
        <f t="shared" si="40"/>
        <v>3</v>
      </c>
      <c r="L45" s="12">
        <f t="shared" si="40"/>
        <v>3</v>
      </c>
      <c r="M45" s="12">
        <f t="shared" si="40"/>
        <v>3</v>
      </c>
      <c r="N45" s="12">
        <f t="shared" si="40"/>
        <v>0</v>
      </c>
      <c r="O45" s="12">
        <f t="shared" si="40"/>
        <v>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10" t="s">
        <v>61</v>
      </c>
      <c r="B46" s="11">
        <v>1</v>
      </c>
      <c r="C46" s="12">
        <v>0</v>
      </c>
      <c r="D46" s="12">
        <v>0</v>
      </c>
      <c r="E46" s="12">
        <v>1</v>
      </c>
      <c r="F46" s="12">
        <v>1</v>
      </c>
      <c r="G46" s="12">
        <v>1</v>
      </c>
      <c r="H46" s="12">
        <v>0</v>
      </c>
      <c r="I46" s="3"/>
      <c r="J46" s="12">
        <f t="shared" ref="J46:O46" si="41">C46*$B46</f>
        <v>0</v>
      </c>
      <c r="K46" s="12">
        <f t="shared" si="41"/>
        <v>0</v>
      </c>
      <c r="L46" s="12">
        <f t="shared" si="41"/>
        <v>1</v>
      </c>
      <c r="M46" s="12">
        <f t="shared" si="41"/>
        <v>1</v>
      </c>
      <c r="N46" s="12">
        <f t="shared" si="41"/>
        <v>1</v>
      </c>
      <c r="O46" s="12">
        <f t="shared" si="41"/>
        <v>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10" t="s">
        <v>62</v>
      </c>
      <c r="B47" s="11">
        <v>1</v>
      </c>
      <c r="C47" s="12">
        <v>0</v>
      </c>
      <c r="D47" s="12">
        <v>0</v>
      </c>
      <c r="E47" s="12">
        <v>1</v>
      </c>
      <c r="F47" s="12">
        <v>1</v>
      </c>
      <c r="G47" s="12">
        <v>1</v>
      </c>
      <c r="H47" s="12">
        <v>0</v>
      </c>
      <c r="I47" s="3"/>
      <c r="J47" s="12">
        <f t="shared" ref="J47:O47" si="42">C47*$B47</f>
        <v>0</v>
      </c>
      <c r="K47" s="12">
        <f t="shared" si="42"/>
        <v>0</v>
      </c>
      <c r="L47" s="12">
        <f t="shared" si="42"/>
        <v>1</v>
      </c>
      <c r="M47" s="12">
        <f t="shared" si="42"/>
        <v>1</v>
      </c>
      <c r="N47" s="12">
        <f t="shared" si="42"/>
        <v>1</v>
      </c>
      <c r="O47" s="12">
        <f t="shared" si="42"/>
        <v>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10" t="s">
        <v>63</v>
      </c>
      <c r="B48" s="11">
        <v>1</v>
      </c>
      <c r="C48" s="12">
        <v>0</v>
      </c>
      <c r="D48" s="12">
        <v>1</v>
      </c>
      <c r="E48" s="12">
        <v>1</v>
      </c>
      <c r="F48" s="12">
        <v>1</v>
      </c>
      <c r="G48" s="12">
        <v>0</v>
      </c>
      <c r="H48" s="12">
        <v>0</v>
      </c>
      <c r="I48" s="3"/>
      <c r="J48" s="12">
        <f t="shared" ref="J48:O48" si="43">C48*$B48</f>
        <v>0</v>
      </c>
      <c r="K48" s="12">
        <f t="shared" si="43"/>
        <v>1</v>
      </c>
      <c r="L48" s="12">
        <f t="shared" si="43"/>
        <v>1</v>
      </c>
      <c r="M48" s="12">
        <f t="shared" si="43"/>
        <v>1</v>
      </c>
      <c r="N48" s="12">
        <f t="shared" si="43"/>
        <v>0</v>
      </c>
      <c r="O48" s="12">
        <f t="shared" si="43"/>
        <v>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10" t="s">
        <v>64</v>
      </c>
      <c r="B49" s="11">
        <v>1</v>
      </c>
      <c r="C49" s="12">
        <v>0</v>
      </c>
      <c r="D49" s="12">
        <v>1</v>
      </c>
      <c r="E49" s="12">
        <v>0</v>
      </c>
      <c r="F49" s="12">
        <v>1</v>
      </c>
      <c r="G49" s="12">
        <v>1</v>
      </c>
      <c r="H49" s="12">
        <v>0</v>
      </c>
      <c r="I49" s="3"/>
      <c r="J49" s="12">
        <f t="shared" ref="J49:O49" si="44">C49*$B49</f>
        <v>0</v>
      </c>
      <c r="K49" s="12">
        <f t="shared" si="44"/>
        <v>1</v>
      </c>
      <c r="L49" s="12">
        <f t="shared" si="44"/>
        <v>0</v>
      </c>
      <c r="M49" s="12">
        <f t="shared" si="44"/>
        <v>1</v>
      </c>
      <c r="N49" s="12">
        <f t="shared" si="44"/>
        <v>1</v>
      </c>
      <c r="O49" s="12">
        <f t="shared" si="44"/>
        <v>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10" t="s">
        <v>65</v>
      </c>
      <c r="B50" s="11">
        <v>3</v>
      </c>
      <c r="C50" s="12">
        <v>1</v>
      </c>
      <c r="D50" s="12">
        <v>1</v>
      </c>
      <c r="E50" s="12">
        <v>0</v>
      </c>
      <c r="F50" s="12">
        <v>1</v>
      </c>
      <c r="G50" s="12">
        <v>0</v>
      </c>
      <c r="H50" s="12">
        <v>0</v>
      </c>
      <c r="I50" s="3"/>
      <c r="J50" s="12">
        <f t="shared" ref="J50:O50" si="45">C50*$B50</f>
        <v>3</v>
      </c>
      <c r="K50" s="12">
        <f t="shared" si="45"/>
        <v>3</v>
      </c>
      <c r="L50" s="12">
        <f t="shared" si="45"/>
        <v>0</v>
      </c>
      <c r="M50" s="12">
        <f t="shared" si="45"/>
        <v>3</v>
      </c>
      <c r="N50" s="12">
        <f t="shared" si="45"/>
        <v>0</v>
      </c>
      <c r="O50" s="12">
        <f t="shared" si="45"/>
        <v>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10" t="s">
        <v>66</v>
      </c>
      <c r="B51" s="11">
        <v>3</v>
      </c>
      <c r="C51" s="12">
        <v>1</v>
      </c>
      <c r="D51" s="12">
        <v>1</v>
      </c>
      <c r="E51" s="12">
        <v>1</v>
      </c>
      <c r="F51" s="12">
        <v>0</v>
      </c>
      <c r="G51" s="12">
        <v>0</v>
      </c>
      <c r="H51" s="12">
        <v>0</v>
      </c>
      <c r="I51" s="3"/>
      <c r="J51" s="12">
        <f t="shared" ref="J51:O51" si="46">C51*$B51</f>
        <v>3</v>
      </c>
      <c r="K51" s="12">
        <f t="shared" si="46"/>
        <v>3</v>
      </c>
      <c r="L51" s="12">
        <f t="shared" si="46"/>
        <v>3</v>
      </c>
      <c r="M51" s="12">
        <f t="shared" si="46"/>
        <v>0</v>
      </c>
      <c r="N51" s="12">
        <f t="shared" si="46"/>
        <v>0</v>
      </c>
      <c r="O51" s="12">
        <f t="shared" si="46"/>
        <v>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10" t="s">
        <v>67</v>
      </c>
      <c r="B52" s="11">
        <v>6</v>
      </c>
      <c r="C52" s="12">
        <v>1</v>
      </c>
      <c r="D52" s="12">
        <v>1</v>
      </c>
      <c r="E52" s="12">
        <v>1</v>
      </c>
      <c r="F52" s="12">
        <v>1</v>
      </c>
      <c r="G52" s="12">
        <v>1</v>
      </c>
      <c r="H52" s="12">
        <v>0</v>
      </c>
      <c r="I52" s="3"/>
      <c r="J52" s="12">
        <f t="shared" ref="J52:O52" si="47">C52*$B52</f>
        <v>6</v>
      </c>
      <c r="K52" s="12">
        <f t="shared" si="47"/>
        <v>6</v>
      </c>
      <c r="L52" s="12">
        <f t="shared" si="47"/>
        <v>6</v>
      </c>
      <c r="M52" s="12">
        <f t="shared" si="47"/>
        <v>6</v>
      </c>
      <c r="N52" s="12">
        <f t="shared" si="47"/>
        <v>6</v>
      </c>
      <c r="O52" s="12">
        <f t="shared" si="47"/>
        <v>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10" t="s">
        <v>68</v>
      </c>
      <c r="B53" s="11">
        <v>2</v>
      </c>
      <c r="C53" s="12">
        <v>0</v>
      </c>
      <c r="D53" s="12">
        <v>0</v>
      </c>
      <c r="E53" s="12">
        <v>0</v>
      </c>
      <c r="F53" s="12">
        <v>1</v>
      </c>
      <c r="G53" s="12">
        <v>1</v>
      </c>
      <c r="H53" s="12">
        <v>0</v>
      </c>
      <c r="I53" s="3"/>
      <c r="J53" s="12">
        <f t="shared" ref="J53:O53" si="48">C53*$B53</f>
        <v>0</v>
      </c>
      <c r="K53" s="12">
        <f t="shared" si="48"/>
        <v>0</v>
      </c>
      <c r="L53" s="12">
        <f t="shared" si="48"/>
        <v>0</v>
      </c>
      <c r="M53" s="12">
        <f t="shared" si="48"/>
        <v>2</v>
      </c>
      <c r="N53" s="12">
        <f t="shared" si="48"/>
        <v>2</v>
      </c>
      <c r="O53" s="12">
        <f t="shared" si="48"/>
        <v>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10" t="s">
        <v>69</v>
      </c>
      <c r="B54" s="11">
        <v>3</v>
      </c>
      <c r="C54" s="12">
        <v>0</v>
      </c>
      <c r="D54" s="12">
        <v>1</v>
      </c>
      <c r="E54" s="12">
        <v>1</v>
      </c>
      <c r="F54" s="12">
        <v>1</v>
      </c>
      <c r="G54" s="12">
        <v>0</v>
      </c>
      <c r="H54" s="12">
        <v>0</v>
      </c>
      <c r="I54" s="3"/>
      <c r="J54" s="12">
        <f t="shared" ref="J54:O54" si="49">C54*$B54</f>
        <v>0</v>
      </c>
      <c r="K54" s="12">
        <f t="shared" si="49"/>
        <v>3</v>
      </c>
      <c r="L54" s="12">
        <f t="shared" si="49"/>
        <v>3</v>
      </c>
      <c r="M54" s="12">
        <f t="shared" si="49"/>
        <v>3</v>
      </c>
      <c r="N54" s="12">
        <f t="shared" si="49"/>
        <v>0</v>
      </c>
      <c r="O54" s="12">
        <f t="shared" si="49"/>
        <v>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10" t="s">
        <v>70</v>
      </c>
      <c r="B55" s="11">
        <v>3</v>
      </c>
      <c r="C55" s="12">
        <v>1</v>
      </c>
      <c r="D55" s="12">
        <v>1</v>
      </c>
      <c r="E55" s="12">
        <v>0</v>
      </c>
      <c r="F55" s="12">
        <v>1</v>
      </c>
      <c r="G55" s="12">
        <v>0</v>
      </c>
      <c r="H55" s="12">
        <v>0</v>
      </c>
      <c r="I55" s="3"/>
      <c r="J55" s="12">
        <f t="shared" ref="J55:O55" si="50">C55*$B55</f>
        <v>3</v>
      </c>
      <c r="K55" s="12">
        <f t="shared" si="50"/>
        <v>3</v>
      </c>
      <c r="L55" s="12">
        <f t="shared" si="50"/>
        <v>0</v>
      </c>
      <c r="M55" s="12">
        <f t="shared" si="50"/>
        <v>3</v>
      </c>
      <c r="N55" s="12">
        <f t="shared" si="50"/>
        <v>0</v>
      </c>
      <c r="O55" s="12">
        <f t="shared" si="50"/>
        <v>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10" t="s">
        <v>71</v>
      </c>
      <c r="B56" s="11">
        <v>3</v>
      </c>
      <c r="C56" s="12">
        <v>0</v>
      </c>
      <c r="D56" s="12">
        <v>1</v>
      </c>
      <c r="E56" s="12">
        <v>0</v>
      </c>
      <c r="F56" s="12">
        <v>1</v>
      </c>
      <c r="G56" s="12">
        <v>1</v>
      </c>
      <c r="H56" s="12">
        <v>0</v>
      </c>
      <c r="I56" s="3"/>
      <c r="J56" s="12">
        <f t="shared" ref="J56:O56" si="51">C56*$B56</f>
        <v>0</v>
      </c>
      <c r="K56" s="12">
        <f t="shared" si="51"/>
        <v>3</v>
      </c>
      <c r="L56" s="12">
        <f t="shared" si="51"/>
        <v>0</v>
      </c>
      <c r="M56" s="12">
        <f t="shared" si="51"/>
        <v>3</v>
      </c>
      <c r="N56" s="12">
        <f t="shared" si="51"/>
        <v>3</v>
      </c>
      <c r="O56" s="12">
        <f t="shared" si="51"/>
        <v>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4">
        <f t="shared" ref="B58:H58" si="52">SUM(B5:B56)</f>
        <v>115</v>
      </c>
      <c r="C58" s="4">
        <f t="shared" si="52"/>
        <v>32</v>
      </c>
      <c r="D58" s="4">
        <f t="shared" si="52"/>
        <v>26</v>
      </c>
      <c r="E58" s="4">
        <f t="shared" si="52"/>
        <v>24</v>
      </c>
      <c r="F58" s="4">
        <f t="shared" si="52"/>
        <v>35</v>
      </c>
      <c r="G58" s="4">
        <f t="shared" si="52"/>
        <v>23</v>
      </c>
      <c r="H58" s="4">
        <f t="shared" si="52"/>
        <v>6</v>
      </c>
      <c r="I58" s="4"/>
      <c r="J58" s="4">
        <f t="shared" ref="J58:O58" si="53">SUM(J5:J56)</f>
        <v>83</v>
      </c>
      <c r="K58" s="4">
        <f t="shared" si="53"/>
        <v>59</v>
      </c>
      <c r="L58" s="4">
        <f t="shared" si="53"/>
        <v>44</v>
      </c>
      <c r="M58" s="4">
        <f t="shared" si="53"/>
        <v>84</v>
      </c>
      <c r="N58" s="4">
        <f t="shared" si="53"/>
        <v>40</v>
      </c>
      <c r="O58" s="4">
        <f t="shared" si="53"/>
        <v>15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3"/>
      <c r="B1001" s="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9">
    <mergeCell ref="J3:K3"/>
    <mergeCell ref="L3:N3"/>
    <mergeCell ref="A2:A4"/>
    <mergeCell ref="C2:D2"/>
    <mergeCell ref="E2:G2"/>
    <mergeCell ref="J2:K2"/>
    <mergeCell ref="L2:N2"/>
    <mergeCell ref="C3:D3"/>
    <mergeCell ref="E3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KONVERSI</vt:lpstr>
      <vt:lpstr>DATA 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2023-12-21T22:54:33Z</dcterms:created>
  <dcterms:modified xsi:type="dcterms:W3CDTF">2026-10-22T06:36:30Z</dcterms:modified>
</cp:coreProperties>
</file>